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"/>
    </mc:Choice>
  </mc:AlternateContent>
  <xr:revisionPtr revIDLastSave="0" documentId="13_ncr:1_{797DB7EF-1FBA-46CB-86CE-73933BCBCD4B}" xr6:coauthVersionLast="45" xr6:coauthVersionMax="45" xr10:uidLastSave="{00000000-0000-0000-0000-000000000000}"/>
  <bookViews>
    <workbookView xWindow="-108" yWindow="-108" windowWidth="23256" windowHeight="12576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" l="1"/>
  <c r="B26" i="1"/>
  <c r="F20" i="1"/>
  <c r="F15" i="1"/>
  <c r="F11" i="1"/>
  <c r="F6" i="1"/>
  <c r="F29" i="1" l="1"/>
</calcChain>
</file>

<file path=xl/sharedStrings.xml><?xml version="1.0" encoding="utf-8"?>
<sst xmlns="http://schemas.openxmlformats.org/spreadsheetml/2006/main" count="74" uniqueCount="50">
  <si>
    <t>ch_pr_var</t>
  </si>
  <si>
    <t>SEA</t>
  </si>
  <si>
    <t>STEA</t>
  </si>
  <si>
    <t>excel_solution</t>
  </si>
  <si>
    <t>details</t>
  </si>
  <si>
    <t>Page 210.</t>
  </si>
  <si>
    <t>Shown in solutions.</t>
  </si>
  <si>
    <t>units</t>
  </si>
  <si>
    <t>igps_solution</t>
  </si>
  <si>
    <t>$</t>
  </si>
  <si>
    <t>%</t>
  </si>
  <si>
    <t>precision</t>
  </si>
  <si>
    <t>n=years</t>
  </si>
  <si>
    <t>latex_SEA</t>
  </si>
  <si>
    <t>latex_STEA</t>
  </si>
  <si>
    <t>08-01-F</t>
  </si>
  <si>
    <t>08-01-n</t>
  </si>
  <si>
    <t>08-01-i</t>
  </si>
  <si>
    <t>08-01-x</t>
  </si>
  <si>
    <t>08-01-P</t>
  </si>
  <si>
    <t>08-02a-P</t>
  </si>
  <si>
    <t>08-02a-n</t>
  </si>
  <si>
    <t>08-02a-i</t>
  </si>
  <si>
    <t>08-02a-x</t>
  </si>
  <si>
    <t>08-02a-F</t>
  </si>
  <si>
    <t>08-02b-P</t>
  </si>
  <si>
    <t>08-02b-n</t>
  </si>
  <si>
    <t>08-02b-i</t>
  </si>
  <si>
    <t>08-02b-F</t>
  </si>
  <si>
    <t>08-03-series</t>
  </si>
  <si>
    <t>08-03-n</t>
  </si>
  <si>
    <t>08-03-i</t>
  </si>
  <si>
    <t>08-03-x</t>
  </si>
  <si>
    <t>08-03-P</t>
  </si>
  <si>
    <t>08-04-series-base</t>
  </si>
  <si>
    <t>08-04-series-inc</t>
  </si>
  <si>
    <t>08-04-n-begin</t>
  </si>
  <si>
    <t>08-04-n</t>
  </si>
  <si>
    <t>08-04-i</t>
  </si>
  <si>
    <t>08-04-g</t>
  </si>
  <si>
    <t>08-04-g-prime</t>
  </si>
  <si>
    <t>08-04-array</t>
  </si>
  <si>
    <t>08-04-P</t>
  </si>
  <si>
    <t>08-05-series-base</t>
  </si>
  <si>
    <t>08-05-series-inc</t>
  </si>
  <si>
    <t>08-05-n</t>
  </si>
  <si>
    <t>08-05-i</t>
  </si>
  <si>
    <t>08-05-g</t>
  </si>
  <si>
    <t>08-05-g-prime</t>
  </si>
  <si>
    <t>08-05-P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</si>
</sst>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8" fontId="0" fillId="0" borderId="2" xfId="0" applyNumberFormat="1" applyBorder="1"/>
    <xf numFmtId="8" fontId="0" fillId="0" borderId="1" xfId="0" applyNumberFormat="1" applyBorder="1"/>
    <xf numFmtId="44" fontId="0" fillId="0" borderId="1" xfId="1" applyFont="1" applyBorder="1"/>
    <xf numFmtId="44" fontId="0" fillId="0" borderId="2" xfId="1" applyFont="1" applyBorder="1"/>
    <xf numFmtId="10" fontId="0" fillId="0" borderId="1" xfId="2" applyNumberFormat="1" applyFont="1" applyBorder="1"/>
    <xf numFmtId="8" fontId="0" fillId="0" borderId="1" xfId="1" applyNumberFormat="1" applyFont="1" applyBorder="1"/>
    <xf numFmtId="0" fontId="2" fillId="0" borderId="4" xfId="0" applyFont="1" applyBorder="1"/>
    <xf numFmtId="0" fontId="2" fillId="0" borderId="5" xfId="0" applyFont="1" applyFill="1" applyBorder="1"/>
    <xf numFmtId="0" fontId="2" fillId="0" borderId="4" xfId="0" applyFont="1" applyFill="1" applyBorder="1"/>
    <xf numFmtId="0" fontId="0" fillId="0" borderId="3" xfId="0" applyBorder="1"/>
    <xf numFmtId="0" fontId="2" fillId="0" borderId="5" xfId="0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J36"/>
  <sheetViews>
    <sheetView tabSelected="1" zoomScaleNormal="100" workbookViewId="0">
      <pane ySplit="1" topLeftCell="A2" activePane="bottomLeft" state="frozen"/>
      <selection pane="bottomLeft" activeCell="I1" sqref="I1"/>
    </sheetView>
  </sheetViews>
  <sheetFormatPr defaultRowHeight="14.4" x14ac:dyDescent="0.3"/>
  <cols>
    <col min="1" max="1" width="22.88671875" style="1" customWidth="1"/>
    <col min="2" max="2" width="19.88671875" style="1" customWidth="1"/>
    <col min="3" max="3" width="10.77734375" style="1" customWidth="1"/>
    <col min="4" max="4" width="11" style="2" customWidth="1"/>
    <col min="5" max="5" width="13.21875" style="1" customWidth="1"/>
    <col min="6" max="6" width="20.5546875" style="1" customWidth="1"/>
    <col min="7" max="7" width="15.33203125" style="2" customWidth="1"/>
    <col min="8" max="8" width="13.33203125" style="2" customWidth="1"/>
    <col min="9" max="9" width="15.33203125" style="1" customWidth="1"/>
    <col min="10" max="10" width="8.88671875" style="1"/>
  </cols>
  <sheetData>
    <row r="1" spans="1:10" s="12" customFormat="1" ht="15" thickBot="1" x14ac:dyDescent="0.35">
      <c r="A1" s="9" t="s">
        <v>0</v>
      </c>
      <c r="B1" s="9" t="s">
        <v>1</v>
      </c>
      <c r="C1" s="9" t="s">
        <v>2</v>
      </c>
      <c r="D1" s="10" t="s">
        <v>7</v>
      </c>
      <c r="E1" s="11" t="s">
        <v>11</v>
      </c>
      <c r="F1" s="11" t="s">
        <v>3</v>
      </c>
      <c r="G1" s="10" t="s">
        <v>8</v>
      </c>
      <c r="H1" s="13" t="s">
        <v>13</v>
      </c>
      <c r="I1" s="9" t="s">
        <v>14</v>
      </c>
      <c r="J1" s="9" t="s">
        <v>4</v>
      </c>
    </row>
    <row r="2" spans="1:10" ht="15" thickTop="1" x14ac:dyDescent="0.3">
      <c r="A2" s="1" t="s">
        <v>15</v>
      </c>
      <c r="B2" s="5">
        <v>10000</v>
      </c>
      <c r="D2" s="2" t="s">
        <v>9</v>
      </c>
    </row>
    <row r="3" spans="1:10" x14ac:dyDescent="0.3">
      <c r="A3" s="1" t="s">
        <v>16</v>
      </c>
      <c r="B3" s="1">
        <v>8</v>
      </c>
      <c r="D3" s="2" t="s">
        <v>12</v>
      </c>
    </row>
    <row r="4" spans="1:10" x14ac:dyDescent="0.3">
      <c r="A4" s="1" t="s">
        <v>17</v>
      </c>
      <c r="B4" s="7">
        <v>0.06</v>
      </c>
      <c r="D4" s="2" t="s">
        <v>10</v>
      </c>
    </row>
    <row r="5" spans="1:10" x14ac:dyDescent="0.3">
      <c r="A5" s="1" t="s">
        <v>18</v>
      </c>
      <c r="B5" s="7"/>
      <c r="E5" s="1">
        <v>4</v>
      </c>
    </row>
    <row r="6" spans="1:10" x14ac:dyDescent="0.3">
      <c r="A6" s="1" t="s">
        <v>19</v>
      </c>
      <c r="D6" s="3" t="s">
        <v>9</v>
      </c>
      <c r="E6" s="4"/>
      <c r="F6" s="4">
        <f>PV(B4,B3,0,B2)</f>
        <v>-6274.1237134182647</v>
      </c>
      <c r="G6" s="3">
        <v>6274</v>
      </c>
    </row>
    <row r="7" spans="1:10" x14ac:dyDescent="0.3">
      <c r="A7" s="1" t="s">
        <v>20</v>
      </c>
      <c r="B7" s="5">
        <v>8000</v>
      </c>
      <c r="D7" s="2" t="s">
        <v>9</v>
      </c>
    </row>
    <row r="8" spans="1:10" x14ac:dyDescent="0.3">
      <c r="A8" s="1" t="s">
        <v>21</v>
      </c>
      <c r="B8" s="1">
        <v>10</v>
      </c>
      <c r="D8" s="2" t="s">
        <v>12</v>
      </c>
    </row>
    <row r="9" spans="1:10" x14ac:dyDescent="0.3">
      <c r="A9" s="1" t="s">
        <v>22</v>
      </c>
      <c r="B9" s="7">
        <v>7.1999999999999995E-2</v>
      </c>
      <c r="D9" s="2" t="s">
        <v>10</v>
      </c>
    </row>
    <row r="10" spans="1:10" x14ac:dyDescent="0.3">
      <c r="A10" s="1" t="s">
        <v>23</v>
      </c>
      <c r="B10" s="7"/>
      <c r="E10" s="1">
        <v>4</v>
      </c>
    </row>
    <row r="11" spans="1:10" x14ac:dyDescent="0.3">
      <c r="A11" s="1" t="s">
        <v>24</v>
      </c>
      <c r="D11" s="3" t="s">
        <v>9</v>
      </c>
      <c r="E11" s="4"/>
      <c r="F11" s="4">
        <f>FV(B9,B8,0,B7)</f>
        <v>-16033.850893234718</v>
      </c>
      <c r="G11" s="3">
        <v>16032</v>
      </c>
    </row>
    <row r="12" spans="1:10" x14ac:dyDescent="0.3">
      <c r="A12" s="1" t="s">
        <v>25</v>
      </c>
      <c r="B12" s="5">
        <v>52500</v>
      </c>
      <c r="D12" s="2" t="s">
        <v>9</v>
      </c>
    </row>
    <row r="13" spans="1:10" x14ac:dyDescent="0.3">
      <c r="A13" s="1" t="s">
        <v>26</v>
      </c>
      <c r="B13" s="1">
        <v>5</v>
      </c>
      <c r="D13" s="2" t="s">
        <v>12</v>
      </c>
    </row>
    <row r="14" spans="1:10" x14ac:dyDescent="0.3">
      <c r="A14" s="1" t="s">
        <v>27</v>
      </c>
      <c r="B14" s="7">
        <v>0.08</v>
      </c>
      <c r="D14" s="2" t="s">
        <v>10</v>
      </c>
    </row>
    <row r="15" spans="1:10" x14ac:dyDescent="0.3">
      <c r="A15" s="1" t="s">
        <v>28</v>
      </c>
      <c r="D15" s="3" t="s">
        <v>9</v>
      </c>
      <c r="E15" s="4"/>
      <c r="F15" s="4">
        <f>FV(B14,B13,0,B12)</f>
        <v>-77139.724032000013</v>
      </c>
      <c r="G15" s="3">
        <v>77123</v>
      </c>
    </row>
    <row r="16" spans="1:10" x14ac:dyDescent="0.3">
      <c r="A16" s="1" t="s">
        <v>29</v>
      </c>
      <c r="B16" s="5">
        <v>6000</v>
      </c>
      <c r="D16" s="2" t="s">
        <v>9</v>
      </c>
    </row>
    <row r="17" spans="1:10" x14ac:dyDescent="0.3">
      <c r="A17" s="1" t="s">
        <v>30</v>
      </c>
      <c r="B17" s="1">
        <v>5</v>
      </c>
      <c r="D17" s="2" t="s">
        <v>12</v>
      </c>
    </row>
    <row r="18" spans="1:10" x14ac:dyDescent="0.3">
      <c r="A18" s="1" t="s">
        <v>31</v>
      </c>
      <c r="B18" s="7">
        <v>0.08</v>
      </c>
      <c r="D18" s="2" t="s">
        <v>10</v>
      </c>
    </row>
    <row r="19" spans="1:10" x14ac:dyDescent="0.3">
      <c r="A19" s="1" t="s">
        <v>32</v>
      </c>
      <c r="B19" s="7"/>
      <c r="E19" s="1">
        <v>4</v>
      </c>
    </row>
    <row r="20" spans="1:10" x14ac:dyDescent="0.3">
      <c r="A20" s="1" t="s">
        <v>33</v>
      </c>
      <c r="D20" s="3" t="s">
        <v>9</v>
      </c>
      <c r="E20" s="4"/>
      <c r="F20" s="4">
        <f>PV(B18,B17,B16)</f>
        <v>-23956.260222468522</v>
      </c>
      <c r="G20" s="3">
        <v>23956</v>
      </c>
    </row>
    <row r="21" spans="1:10" x14ac:dyDescent="0.3">
      <c r="A21" s="1" t="s">
        <v>34</v>
      </c>
      <c r="B21" s="5">
        <v>1000</v>
      </c>
      <c r="D21" s="2" t="s">
        <v>9</v>
      </c>
    </row>
    <row r="22" spans="1:10" x14ac:dyDescent="0.3">
      <c r="A22" s="1" t="s">
        <v>35</v>
      </c>
      <c r="B22" s="7">
        <v>0.08</v>
      </c>
      <c r="D22" s="2" t="s">
        <v>10</v>
      </c>
    </row>
    <row r="23" spans="1:10" x14ac:dyDescent="0.3">
      <c r="A23" s="1" t="s">
        <v>36</v>
      </c>
      <c r="B23" s="1">
        <v>0</v>
      </c>
      <c r="D23" s="2" t="s">
        <v>12</v>
      </c>
    </row>
    <row r="24" spans="1:10" x14ac:dyDescent="0.3">
      <c r="A24" s="1" t="s">
        <v>37</v>
      </c>
      <c r="B24" s="1">
        <v>20</v>
      </c>
      <c r="D24" s="2" t="s">
        <v>12</v>
      </c>
    </row>
    <row r="25" spans="1:10" x14ac:dyDescent="0.3">
      <c r="A25" s="1" t="s">
        <v>38</v>
      </c>
      <c r="B25" s="7">
        <v>0.08</v>
      </c>
      <c r="D25" s="2" t="s">
        <v>10</v>
      </c>
    </row>
    <row r="26" spans="1:10" x14ac:dyDescent="0.3">
      <c r="A26" s="1" t="s">
        <v>39</v>
      </c>
      <c r="B26" s="1">
        <f>B25</f>
        <v>0.08</v>
      </c>
    </row>
    <row r="27" spans="1:10" x14ac:dyDescent="0.3">
      <c r="A27" s="1" t="s">
        <v>40</v>
      </c>
      <c r="B27" s="1">
        <f>(1+B25)/(1+B22)-1</f>
        <v>0</v>
      </c>
    </row>
    <row r="28" spans="1:10" x14ac:dyDescent="0.3">
      <c r="A28" s="1" t="s">
        <v>41</v>
      </c>
    </row>
    <row r="29" spans="1:10" x14ac:dyDescent="0.3">
      <c r="A29" s="1" t="s">
        <v>42</v>
      </c>
      <c r="D29" s="6" t="s">
        <v>9</v>
      </c>
      <c r="E29" s="5"/>
      <c r="F29" s="8">
        <f>B21/(1+B26)*(SERIESSUM(1+B27,B23,-1,B24*{1}))</f>
        <v>18518.518518518518</v>
      </c>
      <c r="G29" s="3">
        <v>18519</v>
      </c>
      <c r="J29" s="1" t="s">
        <v>5</v>
      </c>
    </row>
    <row r="30" spans="1:10" x14ac:dyDescent="0.3">
      <c r="A30" s="1" t="s">
        <v>43</v>
      </c>
      <c r="B30" s="5">
        <v>1000000</v>
      </c>
      <c r="D30" s="2" t="s">
        <v>9</v>
      </c>
    </row>
    <row r="31" spans="1:10" x14ac:dyDescent="0.3">
      <c r="A31" s="1" t="s">
        <v>44</v>
      </c>
      <c r="B31" s="7">
        <v>-0.25</v>
      </c>
      <c r="D31" s="2" t="s">
        <v>10</v>
      </c>
    </row>
    <row r="32" spans="1:10" x14ac:dyDescent="0.3">
      <c r="A32" s="1" t="s">
        <v>45</v>
      </c>
      <c r="B32" s="1">
        <v>4</v>
      </c>
      <c r="D32" s="2" t="s">
        <v>12</v>
      </c>
    </row>
    <row r="33" spans="1:10" x14ac:dyDescent="0.3">
      <c r="A33" s="1" t="s">
        <v>46</v>
      </c>
      <c r="B33" s="7">
        <v>0.06</v>
      </c>
      <c r="D33" s="2" t="s">
        <v>10</v>
      </c>
    </row>
    <row r="34" spans="1:10" x14ac:dyDescent="0.3">
      <c r="A34" s="1" t="s">
        <v>47</v>
      </c>
    </row>
    <row r="35" spans="1:10" x14ac:dyDescent="0.3">
      <c r="A35" s="1" t="s">
        <v>48</v>
      </c>
      <c r="C35" s="4"/>
    </row>
    <row r="36" spans="1:10" x14ac:dyDescent="0.3">
      <c r="A36" s="1" t="s">
        <v>49</v>
      </c>
      <c r="B36" s="4"/>
      <c r="C36" s="4"/>
      <c r="D36" s="2" t="s">
        <v>9</v>
      </c>
      <c r="J36" s="1" t="s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2020-06-15T06:28:34Z</dcterms:modified>
</cp:coreProperties>
</file>